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Raccordement élec" sheetId="3" state="visible" r:id="rId3"/>
    <sheet xmlns:r="http://schemas.openxmlformats.org/officeDocument/2006/relationships" name="Fibre" sheetId="4" state="visible" r:id="rId4"/>
    <sheet xmlns:r="http://schemas.openxmlformats.org/officeDocument/2006/relationships" name="Autres postes" sheetId="5" state="visible" r:id="rId5"/>
    <sheet xmlns:r="http://schemas.openxmlformats.org/officeDocument/2006/relationships" name="Délais &amp; démarches" sheetId="6" state="visible" r:id="rId6"/>
    <sheet xmlns:r="http://schemas.openxmlformats.org/officeDocument/2006/relationships" name="Plan d'a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b val="1"/>
      <color rgb="002E7D32"/>
    </font>
    <font>
      <b val="1"/>
      <color rgb="00B8860B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9" fontId="0" fillId="0" borderId="0" pivotButton="0" quotePrefix="0" xfId="0"/>
    <xf numFmtId="164" fontId="0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0" fillId="4" borderId="1" pivotButton="0" quotePrefix="0" xfId="0"/>
    <xf numFmtId="164" fontId="0" fillId="0" borderId="0" pivotButton="0" quotePrefix="0" xfId="0"/>
    <xf numFmtId="164" fontId="0" fillId="3" borderId="1" pivotButton="0" quotePrefix="0" xfId="0"/>
    <xf numFmtId="0" fontId="5" fillId="0" borderId="1" applyAlignment="1" pivotButton="0" quotePrefix="0" xfId="0">
      <alignment horizontal="center"/>
    </xf>
    <xf numFmtId="164" fontId="0" fillId="4" borderId="1" pivotButton="0" quotePrefix="0" xfId="0"/>
    <xf numFmtId="1" fontId="0" fillId="3" borderId="1" pivotButton="0" quotePrefix="0" xfId="0"/>
    <xf numFmtId="1" fontId="0" fillId="0" borderId="0" pivotButton="0" quotePrefix="0" xfId="0"/>
    <xf numFmtId="1" fontId="0" fillId="0" borderId="1" pivotButton="0" quotePrefix="0" xfId="0"/>
    <xf numFmtId="1" fontId="0" fillId="4" borderId="1" pivotButton="0" quotePrefix="0" xfId="0"/>
    <xf numFmtId="1" fontId="4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6" customWidth="1" min="4" max="4"/>
    <col width="6" customWidth="1" min="5" max="5"/>
  </cols>
  <sheetData>
    <row r="1">
      <c r="A1" s="1" t="inlineStr">
        <is>
          <t>Coûts opérationnels — Exincourt</t>
        </is>
      </c>
    </row>
    <row r="2">
      <c r="A2" s="2" t="inlineStr">
        <is>
          <t>Généré le 2026-09-23 16:50 — ordres de grandeur À CONFIRMER (PTF RTE, devis opérateurs). Barèmes éditables dans l'onglet Hypothèses.</t>
        </is>
      </c>
    </row>
    <row r="4">
      <c r="A4" s="3" t="inlineStr">
        <is>
          <t>Adresse</t>
        </is>
      </c>
      <c r="B4" t="inlineStr">
        <is>
          <t>Es Meser et Courtes Parts 25400 Exincourt</t>
        </is>
      </c>
    </row>
    <row r="5">
      <c r="A5" s="3" t="inlineStr">
        <is>
          <t>Parcelles</t>
        </is>
      </c>
      <c r="B5" t="inlineStr">
        <is>
          <t>Section AD N° 0046</t>
        </is>
      </c>
    </row>
    <row r="6">
      <c r="A6" s="3" t="inlineStr">
        <is>
          <t>Surface</t>
        </is>
      </c>
      <c r="B6" t="inlineStr">
        <is>
          <t>30.28 ha</t>
        </is>
      </c>
    </row>
    <row r="7">
      <c r="A7" s="3" t="inlineStr">
        <is>
          <t>Zone PLU</t>
        </is>
      </c>
      <c r="B7" t="inlineStr">
        <is>
          <t>UYb</t>
        </is>
      </c>
    </row>
    <row r="8">
      <c r="A8" s="3" t="inlineStr">
        <is>
          <t>Poste HTB retenu</t>
        </is>
      </c>
      <c r="B8" t="inlineStr">
        <is>
          <t>RTE (63 kV, 0.7 km)</t>
        </is>
      </c>
    </row>
    <row r="9">
      <c r="A9" s="3" t="inlineStr">
        <is>
          <t>Capacité brute estimée</t>
        </is>
      </c>
      <c r="B9" t="inlineStr">
        <is>
          <t>500 MW</t>
        </is>
      </c>
    </row>
    <row r="11">
      <c r="A11" s="3" t="inlineStr">
        <is>
          <t>Scénarios de puissance (MW IT)</t>
        </is>
      </c>
    </row>
    <row r="12">
      <c r="A12" s="4" t="inlineStr">
        <is>
          <t>Scénario</t>
        </is>
      </c>
      <c r="B12" s="4" t="inlineStr">
        <is>
          <t>Densité (MW/ha/étage)</t>
        </is>
      </c>
      <c r="C12" s="4" t="inlineStr">
        <is>
          <t>Besoin (MW)</t>
        </is>
      </c>
      <c r="D12" s="4" t="inlineStr">
        <is>
          <t>Couvert par la capacité estimée ?</t>
        </is>
      </c>
    </row>
    <row r="13">
      <c r="A13" s="5" t="inlineStr">
        <is>
          <t>Conservateur</t>
        </is>
      </c>
      <c r="B13" s="6" t="n">
        <v>5</v>
      </c>
      <c r="C13" s="5">
        <f>B13*30.280</f>
        <v/>
      </c>
      <c r="D13" s="5">
        <f>IF(500.0&gt;=C13,"OUI","NON — déficit "&amp;ROUND(C13-500.0,0)&amp;" MW")</f>
        <v/>
      </c>
    </row>
    <row r="14">
      <c r="A14" s="5" t="inlineStr">
        <is>
          <t>Médian</t>
        </is>
      </c>
      <c r="B14" s="6" t="n">
        <v>10</v>
      </c>
      <c r="C14" s="5">
        <f>B14*30.280</f>
        <v/>
      </c>
      <c r="D14" s="5">
        <f>IF(500.0&gt;=C14,"OUI","NON — déficit "&amp;ROUND(C14-500.0,0)&amp;" MW")</f>
        <v/>
      </c>
    </row>
    <row r="15">
      <c r="A15" s="5" t="inlineStr">
        <is>
          <t>Max théorique</t>
        </is>
      </c>
      <c r="B15" s="6" t="n">
        <v>15</v>
      </c>
      <c r="C15" s="5">
        <f>B15*30.280</f>
        <v/>
      </c>
      <c r="D15" s="5">
        <f>IF(500.0&gt;=C15,"OUI","NON — déficit "&amp;ROUND(C15-500.0,0)&amp;" MW")</f>
        <v/>
      </c>
    </row>
    <row r="16">
      <c r="A16" s="3" t="inlineStr">
        <is>
          <t>Taille de projet finançable par le réseau actuel</t>
        </is>
      </c>
      <c r="C16" s="7">
        <f>MIN(1,500.0/C14)</f>
        <v/>
      </c>
      <c r="D16" t="inlineStr">
        <is>
          <t>part du scénario médian réalisable sans renforcement</t>
        </is>
      </c>
    </row>
    <row r="19">
      <c r="A19" s="3" t="inlineStr">
        <is>
          <t>Totaux estimés</t>
        </is>
      </c>
    </row>
    <row r="20">
      <c r="A20" s="4" t="inlineStr">
        <is>
          <t>Poste</t>
        </is>
      </c>
      <c r="B20" s="4" t="inlineStr">
        <is>
          <t>Min</t>
        </is>
      </c>
      <c r="C20" s="4" t="inlineStr">
        <is>
          <t>Max</t>
        </is>
      </c>
      <c r="D20" s="4" t="inlineStr">
        <is>
          <t>Unité</t>
        </is>
      </c>
      <c r="E20" s="4" t="inlineStr">
        <is>
          <t>Fiab.</t>
        </is>
      </c>
    </row>
    <row r="21">
      <c r="A21" s="5" t="inlineStr">
        <is>
          <t>Raccordement électrique (scénario retenu)</t>
        </is>
      </c>
      <c r="B21" s="8">
        <f>'Raccordement élec'!F19</f>
        <v/>
      </c>
      <c r="C21" s="8">
        <f>'Raccordement élec'!G19</f>
        <v/>
      </c>
      <c r="D21" s="5" t="inlineStr">
        <is>
          <t>M€</t>
        </is>
      </c>
      <c r="E21" s="9" t="inlineStr">
        <is>
          <t>B</t>
        </is>
      </c>
    </row>
    <row r="22">
      <c r="A22" s="5" t="inlineStr">
        <is>
          <t>Fibre (double adduction)</t>
        </is>
      </c>
      <c r="B22" s="8">
        <f>'Fibre'!F9/1000</f>
        <v/>
      </c>
      <c r="C22" s="8">
        <f>'Fibre'!G9/1000</f>
        <v/>
      </c>
      <c r="D22" s="5" t="inlineStr">
        <is>
          <t>M€</t>
        </is>
      </c>
      <c r="E22" s="9" t="inlineStr">
        <is>
          <t>B</t>
        </is>
      </c>
    </row>
    <row r="23">
      <c r="A23" s="5" t="inlineStr">
        <is>
          <t>Études + ICPE</t>
        </is>
      </c>
      <c r="B23" s="8">
        <f>'Autres postes'!B4+'Autres postes'!B5</f>
        <v/>
      </c>
      <c r="C23" s="8">
        <f>'Autres postes'!C4+'Autres postes'!C5</f>
        <v/>
      </c>
      <c r="D23" s="5" t="inlineStr">
        <is>
          <t>M€</t>
        </is>
      </c>
      <c r="E23" s="10" t="inlineStr">
        <is>
          <t>C</t>
        </is>
      </c>
    </row>
    <row r="24">
      <c r="A24" s="5" t="inlineStr">
        <is>
          <t>Acquisition foncière (ordre de grandeur DVF)</t>
        </is>
      </c>
      <c r="B24" s="8">
        <f>'Autres postes'!B6</f>
        <v/>
      </c>
      <c r="C24" s="8">
        <f>'Autres postes'!C6</f>
        <v/>
      </c>
      <c r="D24" s="5" t="inlineStr">
        <is>
          <t>M€</t>
        </is>
      </c>
      <c r="E24" s="9" t="inlineStr">
        <is>
          <t>B</t>
        </is>
      </c>
    </row>
    <row r="25">
      <c r="A25" s="11" t="inlineStr">
        <is>
          <t>TOTAL coût d'entrée (raccordements + démarches + foncier)</t>
        </is>
      </c>
      <c r="B25" s="12">
        <f>SUM(B21:B24)</f>
        <v/>
      </c>
      <c r="C25" s="12">
        <f>SUM(C21:C24)</f>
        <v/>
      </c>
      <c r="D25" s="13" t="inlineStr">
        <is>
          <t>M€</t>
        </is>
      </c>
      <c r="E25" s="9" t="inlineStr">
        <is>
          <t>B/C</t>
        </is>
      </c>
    </row>
    <row r="26">
      <c r="B26" s="14" t="n"/>
      <c r="C26" s="14" t="n"/>
    </row>
    <row r="27">
      <c r="A27" s="3" t="inlineStr">
        <is>
          <t>Chemin critique estimé</t>
        </is>
      </c>
      <c r="B27" s="14">
        <f>MAX('Délais &amp; démarches'!C:C)</f>
        <v/>
      </c>
      <c r="C27" s="14">
        <f>MAX('Délais &amp; démarches'!D:D)</f>
        <v/>
      </c>
      <c r="D27" t="inlineStr">
        <is>
          <t>mois</t>
        </is>
      </c>
      <c r="E27" s="10" t="inlineStr">
        <is>
          <t>C</t>
        </is>
      </c>
    </row>
    <row r="28">
      <c r="A28" s="3" t="inlineStr">
        <is>
          <t>Coût complet du MW installé (CAPEX + coût d'entrée)</t>
        </is>
      </c>
      <c r="B28" s="14">
        <f>IF('Autres postes'!B9&gt;0,('Autres postes'!B10+B25)/'Autres postes'!B9,"n.d.")</f>
        <v/>
      </c>
      <c r="C28" s="14">
        <f>IF('Autres postes'!B9&gt;0,('Autres postes'!C10+C25)/'Autres postes'!B9,"n.d.")</f>
        <v/>
      </c>
      <c r="D28" t="inlineStr">
        <is>
          <t>M€/MW IT (médian) — benchmark constr. ~10,4 (T&amp;T 2026)</t>
        </is>
      </c>
      <c r="E28" s="9" t="inlineStr">
        <is>
          <t>B</t>
        </is>
      </c>
    </row>
    <row r="29">
      <c r="A29" s="2" t="inlineStr">
        <is>
          <t>CAPEX détaillé : onglet 'Autres postes'.</t>
        </is>
      </c>
    </row>
    <row r="30">
      <c r="A30" s="2" t="inlineStr">
        <is>
          <t>Fiabilité : A = donnée mesurée/officielle (cadastre, DVF, tracé routé) · B = barème public recalé sur des projets réels (CRE, SDDR, ADEME) · C = ordre de grandeur expert — à confirmer (PTF, devis).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72" customWidth="1" min="5" max="5"/>
    <col width="10" customWidth="1" min="6" max="6"/>
  </cols>
  <sheetData>
    <row r="1">
      <c r="A1" s="1" t="inlineStr">
        <is>
          <t>Hypothèses &amp; barèmes (éditables — les calculs se mettent à jour)</t>
        </is>
      </c>
    </row>
    <row r="2">
      <c r="A2" s="2" t="inlineStr">
        <is>
          <t>Ordres de grandeur sourcés ; à recaler par régression sur dataset S3REnR / données internes (les feuilles référencent ces cellules).</t>
        </is>
      </c>
    </row>
    <row r="4">
      <c r="A4" s="4" t="inlineStr">
        <is>
          <t>Paramètre</t>
        </is>
      </c>
      <c r="B4" s="4" t="inlineStr">
        <is>
          <t>Min</t>
        </is>
      </c>
      <c r="C4" s="4" t="inlineStr">
        <is>
          <t>Max</t>
        </is>
      </c>
      <c r="D4" s="4" t="inlineStr">
        <is>
          <t>Unité</t>
        </is>
      </c>
      <c r="E4" s="4" t="inlineStr">
        <is>
          <t>Source</t>
        </is>
      </c>
      <c r="F4" s="4" t="inlineStr">
        <is>
          <t>Date</t>
        </is>
      </c>
    </row>
    <row r="5">
      <c r="A5" s="5" t="inlineStr">
        <is>
          <t>elec_ligne_63_90_kv_meur_km</t>
        </is>
      </c>
      <c r="B5" s="6" t="n">
        <v>0.5</v>
      </c>
      <c r="C5" s="6" t="n">
        <v>1.3</v>
      </c>
      <c r="D5" s="5" t="inlineStr">
        <is>
          <t>M EUR/km</t>
        </is>
      </c>
      <c r="E5" s="5" t="inlineStr">
        <is>
          <t>SDDR 2025 fiche 13 : LS 63-90 kV ~= aerien en rural ; point reel Auzouer 2025 : 1,15 M EUR/km</t>
        </is>
      </c>
      <c r="F5" s="5" t="inlineStr">
        <is>
          <t>2026-07</t>
        </is>
      </c>
    </row>
    <row r="6">
      <c r="A6" s="5" t="inlineStr">
        <is>
          <t>elec_ligne_225_kv_meur_km</t>
        </is>
      </c>
      <c r="B6" s="6" t="n">
        <v>1</v>
      </c>
      <c r="C6" s="6" t="n">
        <v>2.6</v>
      </c>
      <c r="D6" s="5" t="inlineStr">
        <is>
          <t>M EUR/km</t>
        </is>
      </c>
      <c r="E6" s="5" t="inlineStr">
        <is>
          <t>SDDR 2025 : LS 225 kV +65% vs aerien ; point reel AESC Douai 2023 : 2,54 M EUR/km</t>
        </is>
      </c>
      <c r="F6" s="5" t="inlineStr">
        <is>
          <t>2026-07</t>
        </is>
      </c>
    </row>
    <row r="7">
      <c r="A7" s="5" t="inlineStr">
        <is>
          <t>elec_ligne_400_kv_meur_km</t>
        </is>
      </c>
      <c r="B7" s="6" t="n">
        <v>2</v>
      </c>
      <c r="C7" s="6" t="n">
        <v>8</v>
      </c>
      <c r="D7" s="5" t="inlineStr">
        <is>
          <t>M EUR/km</t>
        </is>
      </c>
      <c r="E7" s="5" t="inlineStr">
        <is>
          <t>RTE : aerien 400 kV ~2.1 M EUR/km (Cotentin-Maine) ; 400 kV ~ 8x 63-90 kV</t>
        </is>
      </c>
      <c r="F7" s="5" t="inlineStr">
        <is>
          <t>2026-07</t>
        </is>
      </c>
    </row>
    <row r="8">
      <c r="A8" s="5" t="inlineStr">
        <is>
          <t>elec_poste_prive_90_meur</t>
        </is>
      </c>
      <c r="B8" s="6" t="n">
        <v>8</v>
      </c>
      <c r="C8" s="6" t="n">
        <v>15</v>
      </c>
      <c r="D8" s="5" t="inlineStr">
        <is>
          <t>M EUR</t>
        </is>
      </c>
      <c r="E8" s="5" t="inlineStr">
        <is>
          <t>Ordre de grandeur poste client 90/20 kV (a confirmer PTF)</t>
        </is>
      </c>
      <c r="F8" s="5" t="inlineStr">
        <is>
          <t>2026-07</t>
        </is>
      </c>
    </row>
    <row r="9">
      <c r="A9" s="5" t="inlineStr">
        <is>
          <t>elec_poste_prive_225_meur</t>
        </is>
      </c>
      <c r="B9" s="6" t="n">
        <v>15</v>
      </c>
      <c r="C9" s="6" t="n">
        <v>25</v>
      </c>
      <c r="D9" s="5" t="inlineStr">
        <is>
          <t>M EUR</t>
        </is>
      </c>
      <c r="E9" s="5" t="inlineStr">
        <is>
          <t>Ordre de grandeur poste client 225/20 kV (a confirmer PTF)</t>
        </is>
      </c>
      <c r="F9" s="5" t="inlineStr">
        <is>
          <t>2026-07</t>
        </is>
      </c>
    </row>
    <row r="10">
      <c r="A10" s="5" t="inlineStr">
        <is>
          <t>elec_poste_prive_400_meur</t>
        </is>
      </c>
      <c r="B10" s="6" t="n">
        <v>30</v>
      </c>
      <c r="C10" s="6" t="n">
        <v>60</v>
      </c>
      <c r="D10" s="5" t="inlineStr">
        <is>
          <t>M EUR</t>
        </is>
      </c>
      <c r="E10" s="5" t="inlineStr">
        <is>
          <t>Ordre de grandeur poste client 400 kV (a confirmer PTF)</t>
        </is>
      </c>
      <c r="F10" s="5" t="inlineStr">
        <is>
          <t>2026-07</t>
        </is>
      </c>
    </row>
    <row r="11">
      <c r="A11" s="5" t="inlineStr">
        <is>
          <t>elec_poste_coupure_meur</t>
        </is>
      </c>
      <c r="B11" s="6" t="n">
        <v>30</v>
      </c>
      <c r="C11" s="6" t="n">
        <v>55</v>
      </c>
      <c r="D11" s="5" t="inlineStr">
        <is>
          <t>M EUR</t>
        </is>
      </c>
      <c r="E11" s="5" t="inlineStr">
        <is>
          <t>Poste client en entree en coupure sur ligne HTB : DATA4 Marcoussis 33,6 M EUR audite CRE (delib. 2024-164) ; Lislet 2 (delib. 2024-163)</t>
        </is>
      </c>
      <c r="F11" s="5" t="inlineStr">
        <is>
          <t>2026-07</t>
        </is>
      </c>
    </row>
    <row r="12">
      <c r="A12" s="5" t="inlineStr">
        <is>
          <t>routing_factor_elec</t>
        </is>
      </c>
      <c r="B12" s="6" t="n">
        <v>1.3</v>
      </c>
      <c r="C12" s="6" t="n">
        <v>1.5</v>
      </c>
      <c r="D12" s="5" t="inlineStr">
        <is>
          <t>coef.</t>
        </is>
      </c>
      <c r="E12" s="5" t="inlineStr">
        <is>
          <t>Facteur de cheminement (trace reel vs vol d'oiseau)</t>
        </is>
      </c>
      <c r="F12" s="5" t="inlineStr">
        <is>
          <t>2026-07</t>
        </is>
      </c>
    </row>
    <row r="13">
      <c r="A13" s="5" t="inlineStr">
        <is>
          <t>forage_dirige_meur</t>
        </is>
      </c>
      <c r="B13" s="6" t="n">
        <v>0.1</v>
      </c>
      <c r="C13" s="6" t="n">
        <v>0.3</v>
      </c>
      <c r="D13" s="5" t="inlineStr">
        <is>
          <t>M EUR/franchissement</t>
        </is>
      </c>
      <c r="E13" s="5" t="inlineStr">
        <is>
          <t>Forage dirige par franchissement (autoroute, voie ferree, riviere)</t>
        </is>
      </c>
      <c r="F13" s="5" t="inlineStr">
        <is>
          <t>2026-07</t>
        </is>
      </c>
    </row>
    <row r="14">
      <c r="A14" s="5" t="inlineStr">
        <is>
          <t>surcout_urbain_coef</t>
        </is>
      </c>
      <c r="B14" s="6" t="n">
        <v>1.5</v>
      </c>
      <c r="C14" s="6" t="n">
        <v>3</v>
      </c>
      <c r="D14" s="5" t="inlineStr">
        <is>
          <t>coef.</t>
        </is>
      </c>
      <c r="E14" s="5" t="inlineStr">
        <is>
          <t>Surcout tranchee en zone urbaine dense vs accotement rural</t>
        </is>
      </c>
      <c r="F14" s="5" t="inlineStr">
        <is>
          <t>2026-07</t>
        </is>
      </c>
    </row>
    <row r="15">
      <c r="A15" s="5" t="inlineStr">
        <is>
          <t>fibre_gc_keur_km</t>
        </is>
      </c>
      <c r="B15" s="6" t="n">
        <v>15</v>
      </c>
      <c r="C15" s="6" t="n">
        <v>40</v>
      </c>
      <c r="D15" s="5" t="inlineStr">
        <is>
          <t>k EUR/km</t>
        </is>
      </c>
      <c r="E15" s="5" t="inlineStr">
        <is>
          <t>Genie civil fibre RURAL/accotement (10-40 EUR/ml, retours terrain)</t>
        </is>
      </c>
      <c r="F15" s="5" t="inlineStr">
        <is>
          <t>2026-07</t>
        </is>
      </c>
    </row>
    <row r="16">
      <c r="A16" s="5" t="inlineStr">
        <is>
          <t>fibre_gc_urbain_keur_km</t>
        </is>
      </c>
      <c r="B16" s="6" t="n">
        <v>80</v>
      </c>
      <c r="C16" s="6" t="n">
        <v>180</v>
      </c>
      <c r="D16" s="5" t="inlineStr">
        <is>
          <t>k EUR/km</t>
        </is>
      </c>
      <c r="E16" s="5" t="inlineStr">
        <is>
          <t>Tranchee sous chaussee : Cerema ~100-150 EUR/ml ; constate AURA 2024-2025 : 80-180 EUR/ml</t>
        </is>
      </c>
      <c r="F16" s="5" t="inlineStr">
        <is>
          <t>2026-07</t>
        </is>
      </c>
    </row>
    <row r="17">
      <c r="A17" s="5" t="inlineStr">
        <is>
          <t>fibre_nb_adductions</t>
        </is>
      </c>
      <c r="B17" s="6" t="n">
        <v>2</v>
      </c>
      <c r="C17" s="6" t="n">
        <v>2</v>
      </c>
      <c r="D17" s="5" t="inlineStr">
        <is>
          <t>adductions</t>
        </is>
      </c>
      <c r="E17" s="5" t="inlineStr">
        <is>
          <t>Double adduction requise (diversite de chemins, anti-SPOF)</t>
        </is>
      </c>
      <c r="F17" s="5" t="inlineStr">
        <is>
          <t>2026-07</t>
        </is>
      </c>
    </row>
    <row r="18">
      <c r="A18" s="5" t="inlineStr">
        <is>
          <t>capex_dc_meur_mw</t>
        </is>
      </c>
      <c r="B18" s="6" t="n">
        <v>7</v>
      </c>
      <c r="C18" s="6" t="n">
        <v>12</v>
      </c>
      <c r="D18" s="5" t="inlineStr">
        <is>
          <t>M EUR/MW IT</t>
        </is>
      </c>
      <c r="E18" s="5" t="inlineStr">
        <is>
          <t>Turner &amp; Townsend DCCI 2025 ; moyenne ~10.4 M EUR/MW (2026)</t>
        </is>
      </c>
      <c r="F18" s="5" t="inlineStr">
        <is>
          <t>2026-07</t>
        </is>
      </c>
    </row>
    <row r="19">
      <c r="A19" s="5" t="inlineStr">
        <is>
          <t>chaleur_canalisation_eur_ml</t>
        </is>
      </c>
      <c r="B19" s="6" t="n">
        <v>500</v>
      </c>
      <c r="C19" s="6" t="n">
        <v>900</v>
      </c>
      <c r="D19" s="5" t="inlineStr">
        <is>
          <t>EUR/ml (aller+retour)</t>
        </is>
      </c>
      <c r="E19" s="5" t="inlineStr">
        <is>
          <t>ADEME 2019 (dossiers Fonds Chaleur 2013-2017) : moyenne 670, mediane 575, IQR 416-732 EUR/ml, actualise ~+20% (Cerema)</t>
        </is>
      </c>
      <c r="F19" s="5" t="inlineStr">
        <is>
          <t>2026-07</t>
        </is>
      </c>
    </row>
    <row r="20">
      <c r="A20" s="5" t="inlineStr">
        <is>
          <t>chaleur_canalisation_urbain_eur_ml</t>
        </is>
      </c>
      <c r="B20" s="6" t="n">
        <v>1000</v>
      </c>
      <c r="C20" s="6" t="n">
        <v>1800</v>
      </c>
      <c r="D20" s="5" t="inlineStr">
        <is>
          <t>EUR/ml (aller+retour)</t>
        </is>
      </c>
      <c r="E20" s="5" t="inlineStr">
        <is>
          <t>CGE/Cerema : 1000-1300 EUR/ml urbain dense ; reseaux haute pression industriels ~1800 EUR/ml (ADEME 2019)</t>
        </is>
      </c>
      <c r="F20" s="5" t="inlineStr">
        <is>
          <t>2026-07</t>
        </is>
      </c>
    </row>
    <row r="21">
      <c r="A21" s="5" t="inlineStr">
        <is>
          <t>chaleur_sous_station_meur</t>
        </is>
      </c>
      <c r="B21" s="6" t="n">
        <v>0.5</v>
      </c>
      <c r="C21" s="6" t="n">
        <v>1</v>
      </c>
      <c r="D21" s="5" t="inlineStr">
        <is>
          <t>M EUR</t>
        </is>
      </c>
      <c r="E21" s="5" t="inlineStr">
        <is>
          <t>Sous-station d'echange datacenter-&gt;reseau (ordre de grandeur ; sous-stations = 16% du CAPEX reseau selon ADEME 2019)</t>
        </is>
      </c>
      <c r="F21" s="5" t="inlineStr">
        <is>
          <t>2026-07</t>
        </is>
      </c>
    </row>
    <row r="22">
      <c r="A22" s="5" t="inlineStr">
        <is>
          <t>chaleur_taux_aide_fonds_chaleur</t>
        </is>
      </c>
      <c r="B22" s="6" t="n">
        <v>0.4</v>
      </c>
      <c r="C22" s="6" t="n">
        <v>0.65</v>
      </c>
      <c r="D22" s="5" t="inlineStr">
        <is>
          <t>part du CAPEX</t>
        </is>
      </c>
      <c r="E22" s="5" t="inlineStr">
        <is>
          <t>Fonds Chaleur ADEME : aide jusqu'a 65% du cout (fondschaleur.ademe.fr)</t>
        </is>
      </c>
      <c r="F22" s="5" t="inlineStr">
        <is>
          <t>2026-07</t>
        </is>
      </c>
    </row>
    <row r="23">
      <c r="A23" s="5" t="inlineStr">
        <is>
          <t>fibre_location_fourreaux_eur_ml_an</t>
        </is>
      </c>
      <c r="B23" s="6" t="n">
        <v>0.5</v>
      </c>
      <c r="C23" s="6" t="n">
        <v>1.5</v>
      </c>
      <c r="D23" s="5" t="inlineStr">
        <is>
          <t>EUR/ml/an (OPEX)</t>
        </is>
      </c>
      <c r="E23" s="5" t="inlineStr">
        <is>
          <t>Offre regulee Orange GC BLO (tarif annuel ARCEP) — a preciser depuis l'offre de reference en vigueur</t>
        </is>
      </c>
      <c r="F23" s="5" t="inlineStr">
        <is>
          <t>2026-07</t>
        </is>
      </c>
    </row>
    <row r="24">
      <c r="A24" s="5" t="inlineStr">
        <is>
          <t>etudes_tech_meur</t>
        </is>
      </c>
      <c r="B24" s="6" t="n">
        <v>0.5</v>
      </c>
      <c r="C24" s="6" t="n">
        <v>1.5</v>
      </c>
      <c r="D24" s="5" t="inlineStr">
        <is>
          <t>M EUR</t>
        </is>
      </c>
      <c r="E24" s="5" t="inlineStr">
        <is>
          <t>Etudes G1/G2, environnement, dangers, maitrise d'oeuvre amont</t>
        </is>
      </c>
      <c r="F24" s="5" t="inlineStr">
        <is>
          <t>2026-07</t>
        </is>
      </c>
    </row>
    <row r="25">
      <c r="A25" s="5" t="inlineStr">
        <is>
          <t>dossier_icpe_meur</t>
        </is>
      </c>
      <c r="B25" s="6" t="n">
        <v>0.1</v>
      </c>
      <c r="C25" s="6" t="n">
        <v>0.3</v>
      </c>
      <c r="D25" s="5" t="inlineStr">
        <is>
          <t>M EUR</t>
        </is>
      </c>
      <c r="E25" s="5" t="inlineStr">
        <is>
          <t>Constitution dossier ICPE (enregistrement/autorisation)</t>
        </is>
      </c>
      <c r="F25" s="5" t="inlineStr">
        <is>
          <t>2026-07</t>
        </is>
      </c>
    </row>
    <row r="26">
      <c r="A26" s="5" t="inlineStr">
        <is>
          <t>delai_ptf_mois</t>
        </is>
      </c>
      <c r="B26" s="6" t="n">
        <v>3</v>
      </c>
      <c r="C26" s="6" t="n">
        <v>6</v>
      </c>
      <c r="D26" s="5" t="inlineStr">
        <is>
          <t>mois</t>
        </is>
      </c>
      <c r="E26" s="5" t="inlineStr">
        <is>
          <t>RTE DTR art. 8.7 (validite PTF 3 mois)</t>
        </is>
      </c>
      <c r="F26" s="5" t="inlineStr">
        <is>
          <t>2026-07</t>
        </is>
      </c>
    </row>
    <row r="27">
      <c r="A27" s="5" t="inlineStr">
        <is>
          <t>delai_travaux_racc_mois</t>
        </is>
      </c>
      <c r="B27" s="6" t="n">
        <v>24</v>
      </c>
      <c r="C27" s="6" t="n">
        <v>48</v>
      </c>
      <c r="D27" s="5" t="inlineStr">
        <is>
          <t>mois</t>
        </is>
      </c>
      <c r="E27" s="5" t="inlineStr">
        <is>
          <t>RTE : travaux poste &lt;= 2 ans apres 1ere PTF ; file d'attente variable</t>
        </is>
      </c>
      <c r="F27" s="5" t="inlineStr">
        <is>
          <t>2026-07</t>
        </is>
      </c>
    </row>
    <row r="28">
      <c r="A28" s="5" t="inlineStr">
        <is>
          <t>delai_pc_mois</t>
        </is>
      </c>
      <c r="B28" s="6" t="n">
        <v>6</v>
      </c>
      <c r="C28" s="6" t="n">
        <v>12</v>
      </c>
      <c r="D28" s="5" t="inlineStr">
        <is>
          <t>mois</t>
        </is>
      </c>
      <c r="E28" s="5" t="inlineStr">
        <is>
          <t>Permis de construire + recours eventuels</t>
        </is>
      </c>
      <c r="F28" s="5" t="inlineStr">
        <is>
          <t>2026-07</t>
        </is>
      </c>
    </row>
    <row r="29">
      <c r="A29" s="5" t="inlineStr">
        <is>
          <t>delai_icpe_mois</t>
        </is>
      </c>
      <c r="B29" s="6" t="n">
        <v>9</v>
      </c>
      <c r="C29" s="6" t="n">
        <v>18</v>
      </c>
      <c r="D29" s="5" t="inlineStr">
        <is>
          <t>mois</t>
        </is>
      </c>
      <c r="E29" s="5" t="inlineStr">
        <is>
          <t>ICPE autorisation (enregistrement : 5-9 mois)</t>
        </is>
      </c>
      <c r="F29" s="5" t="inlineStr">
        <is>
          <t>2026-07</t>
        </is>
      </c>
    </row>
    <row r="30">
      <c r="A30" s="5" t="inlineStr">
        <is>
          <t>delai_plu_modif_mois</t>
        </is>
      </c>
      <c r="B30" s="6" t="n">
        <v>6</v>
      </c>
      <c r="C30" s="6" t="n">
        <v>12</v>
      </c>
      <c r="D30" s="5" t="inlineStr">
        <is>
          <t>mois</t>
        </is>
      </c>
      <c r="E30" s="5" t="inlineStr">
        <is>
          <t>Modification simplifiee / modification de droit commun</t>
        </is>
      </c>
      <c r="F30" s="5" t="inlineStr">
        <is>
          <t>2026-07</t>
        </is>
      </c>
    </row>
    <row r="31">
      <c r="A31" s="5" t="inlineStr">
        <is>
          <t>delai_plu_revision_mois</t>
        </is>
      </c>
      <c r="B31" s="6" t="n">
        <v>24</v>
      </c>
      <c r="C31" s="6" t="n">
        <v>48</v>
      </c>
      <c r="D31" s="5" t="inlineStr">
        <is>
          <t>mois</t>
        </is>
      </c>
      <c r="E31" s="5" t="inlineStr">
        <is>
          <t>Revision generale ou declaration de projet avec MECDU</t>
        </is>
      </c>
      <c r="F31" s="5" t="inlineStr">
        <is>
          <t>2026-07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6" customWidth="1" min="8" max="8"/>
  </cols>
  <sheetData>
    <row r="1">
      <c r="A1" s="1" t="inlineStr">
        <is>
          <t>Raccordement électrique HTB — estimation</t>
        </is>
      </c>
    </row>
    <row r="2">
      <c r="A2" s="2" t="inlineStr">
        <is>
          <t>Poste retenu : RTE (63 kV) à 0.66 km à vol d'oiseau. Ordres de grandeur À CONFIRMER PAR PTF RTE.</t>
        </is>
      </c>
    </row>
    <row r="4">
      <c r="A4" s="4" t="inlineStr">
        <is>
          <t>Poste de coût</t>
        </is>
      </c>
      <c r="B4" s="4" t="inlineStr">
        <is>
          <t>Quantité</t>
        </is>
      </c>
      <c r="C4" s="4" t="inlineStr">
        <is>
          <t>Unité</t>
        </is>
      </c>
      <c r="D4" s="4" t="inlineStr">
        <is>
          <t>Coût unit. min</t>
        </is>
      </c>
      <c r="E4" s="4" t="inlineStr">
        <is>
          <t>Coût unit. max</t>
        </is>
      </c>
      <c r="F4" s="4" t="inlineStr">
        <is>
          <t>Total min (M€)</t>
        </is>
      </c>
      <c r="G4" s="4" t="inlineStr">
        <is>
          <t>Total max (M€)</t>
        </is>
      </c>
      <c r="H4" s="4" t="inlineStr">
        <is>
          <t>Fiab.</t>
        </is>
      </c>
    </row>
    <row r="5">
      <c r="A5" s="5" t="inlineStr">
        <is>
          <t>Longueur du tracé routier (routage IGN)</t>
        </is>
      </c>
      <c r="B5" s="15" t="n">
        <v>2.47</v>
      </c>
      <c r="C5" s="5" t="inlineStr">
        <is>
          <t>km</t>
        </is>
      </c>
      <c r="D5" s="14" t="n"/>
      <c r="E5" s="14" t="n"/>
      <c r="F5" s="14" t="n"/>
      <c r="G5" s="14" t="n"/>
      <c r="H5" s="16" t="inlineStr">
        <is>
          <t>A</t>
        </is>
      </c>
    </row>
    <row r="6">
      <c r="A6" s="5" t="inlineStr">
        <is>
          <t>Longueur de liaison retenue (tracé suit la voirie)</t>
        </is>
      </c>
      <c r="B6" s="8">
        <f>B5</f>
        <v/>
      </c>
      <c r="C6" s="5" t="inlineStr">
        <is>
          <t>km</t>
        </is>
      </c>
      <c r="D6" s="14" t="n"/>
      <c r="E6" s="14" t="n"/>
      <c r="F6" s="14" t="n"/>
      <c r="G6" s="14" t="n"/>
    </row>
    <row r="7">
      <c r="A7" s="5" t="inlineStr">
        <is>
          <t>Liaison souterraine 63 kV</t>
        </is>
      </c>
      <c r="B7" s="8">
        <f>B6</f>
        <v/>
      </c>
      <c r="C7" s="5" t="inlineStr">
        <is>
          <t>km</t>
        </is>
      </c>
      <c r="D7" s="8">
        <f>'Hypothèses'!B5</f>
        <v/>
      </c>
      <c r="E7" s="8">
        <f>'Hypothèses'!C5</f>
        <v/>
      </c>
      <c r="F7" s="8">
        <f>B7*D7</f>
        <v/>
      </c>
      <c r="G7" s="8">
        <f>B7*E7</f>
        <v/>
      </c>
      <c r="H7" s="9" t="inlineStr">
        <is>
          <t>B</t>
        </is>
      </c>
    </row>
    <row r="8">
      <c r="A8" s="5" t="inlineStr">
        <is>
          <t>Poste de transformation privé (SSE client)</t>
        </is>
      </c>
      <c r="B8" s="8" t="n">
        <v>1</v>
      </c>
      <c r="C8" s="5" t="inlineStr">
        <is>
          <t>u</t>
        </is>
      </c>
      <c r="D8" s="8">
        <f>'Hypothèses'!B8</f>
        <v/>
      </c>
      <c r="E8" s="8">
        <f>'Hypothèses'!C8</f>
        <v/>
      </c>
      <c r="F8" s="8">
        <f>B8*D8</f>
        <v/>
      </c>
      <c r="G8" s="8">
        <f>B8*E8</f>
        <v/>
      </c>
      <c r="H8" s="10" t="inlineStr">
        <is>
          <t>C</t>
        </is>
      </c>
    </row>
    <row r="9">
      <c r="A9" s="5" t="inlineStr">
        <is>
          <t>Franchissements en forage dirigé (autoroute / fer / eau)</t>
        </is>
      </c>
      <c r="B9" s="15" t="n">
        <v>7</v>
      </c>
      <c r="C9" s="5" t="inlineStr">
        <is>
          <t>u</t>
        </is>
      </c>
      <c r="D9" s="8">
        <f>'Hypothèses'!B13</f>
        <v/>
      </c>
      <c r="E9" s="8">
        <f>'Hypothèses'!C13</f>
        <v/>
      </c>
      <c r="F9" s="8">
        <f>B9*D9</f>
        <v/>
      </c>
      <c r="G9" s="8">
        <f>B9*E9</f>
        <v/>
      </c>
      <c r="H9" s="9" t="inlineStr">
        <is>
          <t>B</t>
        </is>
      </c>
    </row>
    <row r="10">
      <c r="A10" s="11" t="inlineStr">
        <is>
          <t>TOTAL raccordement électrique</t>
        </is>
      </c>
      <c r="B10" s="17" t="n"/>
      <c r="C10" s="13" t="n"/>
      <c r="D10" s="17" t="n"/>
      <c r="E10" s="17" t="n"/>
      <c r="F10" s="12">
        <f>SUM(F7:F9)</f>
        <v/>
      </c>
      <c r="G10" s="12">
        <f>SUM(G7:G9)</f>
        <v/>
      </c>
      <c r="H10" s="10" t="inlineStr">
        <is>
          <t>C</t>
        </is>
      </c>
    </row>
    <row r="11">
      <c r="B11" s="14" t="n"/>
      <c r="D11" s="14" t="n"/>
      <c r="E11" s="14" t="n"/>
      <c r="F11" s="14" t="n"/>
      <c r="G11" s="14" t="n"/>
    </row>
    <row r="12">
      <c r="A12" s="2" t="inlineStr">
        <is>
          <t>Hors renforcements amont du réseau (fixés par la PTF). Tracé : 1.98 km urbains / 0.49 km ruraux (surcoût urbain : voir 'surcout_urbain_coef' dans Hypothèses).</t>
        </is>
      </c>
      <c r="B12" s="14" t="n"/>
      <c r="D12" s="14" t="n"/>
      <c r="E12" s="14" t="n"/>
      <c r="F12" s="14" t="n"/>
      <c r="G12" s="14" t="n"/>
    </row>
    <row r="13">
      <c r="B13" s="14" t="n"/>
      <c r="D13" s="14" t="n"/>
      <c r="E13" s="14" t="n"/>
      <c r="F13" s="14" t="n"/>
      <c r="G13" s="14" t="n"/>
    </row>
    <row r="14">
      <c r="A14" s="3" t="inlineStr">
        <is>
          <t>SCÉNARIO B — piquage ligne 225 kV à 1.5 km (potentiel ~300 MW)</t>
        </is>
      </c>
      <c r="B14" s="14" t="n"/>
      <c r="D14" s="14" t="n"/>
      <c r="E14" s="14" t="n"/>
      <c r="F14" s="14" t="n"/>
      <c r="G14" s="14" t="n"/>
    </row>
    <row r="15">
      <c r="A15" s="5" t="inlineStr">
        <is>
          <t>Liaison site → point de piquage (x facteur cheminement)</t>
        </is>
      </c>
      <c r="B15" s="15" t="n">
        <v>2.09</v>
      </c>
      <c r="C15" s="5" t="inlineStr">
        <is>
          <t>km</t>
        </is>
      </c>
      <c r="D15" s="8">
        <f>'Hypothèses'!B6</f>
        <v/>
      </c>
      <c r="E15" s="8">
        <f>'Hypothèses'!C6</f>
        <v/>
      </c>
      <c r="F15" s="8">
        <f>B15*D15</f>
        <v/>
      </c>
      <c r="G15" s="8">
        <f>B15*E15</f>
        <v/>
      </c>
      <c r="H15" s="9" t="inlineStr">
        <is>
          <t>B</t>
        </is>
      </c>
    </row>
    <row r="16">
      <c r="A16" s="5" t="inlineStr">
        <is>
          <t>Poste client en entrée en coupure (réf. DATA4 / Lislet 2)</t>
        </is>
      </c>
      <c r="B16" s="8" t="n">
        <v>1</v>
      </c>
      <c r="C16" s="5" t="inlineStr">
        <is>
          <t>u</t>
        </is>
      </c>
      <c r="D16" s="8">
        <f>'Hypothèses'!B11</f>
        <v/>
      </c>
      <c r="E16" s="8">
        <f>'Hypothèses'!C11</f>
        <v/>
      </c>
      <c r="F16" s="8">
        <f>B16*D16</f>
        <v/>
      </c>
      <c r="G16" s="8">
        <f>B16*E16</f>
        <v/>
      </c>
      <c r="H16" s="9" t="inlineStr">
        <is>
          <t>B</t>
        </is>
      </c>
    </row>
    <row r="17">
      <c r="A17" s="11" t="inlineStr">
        <is>
          <t>TOTAL scénario B (piquage)</t>
        </is>
      </c>
      <c r="B17" s="17" t="n"/>
      <c r="C17" s="13" t="n"/>
      <c r="D17" s="17" t="n"/>
      <c r="E17" s="17" t="n"/>
      <c r="F17" s="12">
        <f>SUM(F15:F16)</f>
        <v/>
      </c>
      <c r="G17" s="12">
        <f>SUM(G15:G16)</f>
        <v/>
      </c>
      <c r="H17" s="9" t="inlineStr">
        <is>
          <t>B</t>
        </is>
      </c>
    </row>
    <row r="18">
      <c r="B18" s="14" t="n"/>
      <c r="D18" s="14" t="n"/>
      <c r="E18" s="14" t="n"/>
      <c r="F18" s="14" t="n"/>
      <c r="G18" s="14" t="n"/>
    </row>
    <row r="19">
      <c r="A19" s="11" t="inlineStr">
        <is>
          <t>SCÉNARIO RETENU (coût médian minimal)</t>
        </is>
      </c>
      <c r="B19" s="17">
        <f>IF((F17+G17)&lt;(F10+G10),"B — piquage","A — poste existant")</f>
        <v/>
      </c>
      <c r="C19" s="13" t="n"/>
      <c r="D19" s="17" t="n"/>
      <c r="E19" s="17" t="n"/>
      <c r="F19" s="12">
        <f>IF((F17+G17)&lt;(F10+G10),F17,F10)</f>
        <v/>
      </c>
      <c r="G19" s="12">
        <f>IF((F17+G17)&lt;(F10+G10),G17,G10)</f>
        <v/>
      </c>
      <c r="H19" s="9" t="inlineStr">
        <is>
          <t>B</t>
        </is>
      </c>
    </row>
    <row r="21">
      <c r="A21" s="2" t="inlineStr">
        <is>
          <t>Scénario B : suppose l'accord RTE sur l'entrée en coupure (à confirmer par PTF). Coordonnées de ligne = centre du tronçon OSM — tracé et point de piquage à affiner en étude.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6" customWidth="1" min="8" max="8"/>
  </cols>
  <sheetData>
    <row r="1">
      <c r="A1" s="1" t="inlineStr">
        <is>
          <t>Raccordement fibre optique — estimation</t>
        </is>
      </c>
    </row>
    <row r="2">
      <c r="A2" s="2" t="inlineStr">
        <is>
          <t>Raccordement au point de piquage sur le backbone (pas au POP Arteria (FON SNCF)) : 0.0 km routés (routage OSRM).</t>
        </is>
      </c>
    </row>
    <row r="4">
      <c r="A4" s="4" t="inlineStr">
        <is>
          <t>Poste de coût</t>
        </is>
      </c>
      <c r="B4" s="4" t="inlineStr">
        <is>
          <t>Quantité</t>
        </is>
      </c>
      <c r="C4" s="4" t="inlineStr">
        <is>
          <t>Unité</t>
        </is>
      </c>
      <c r="D4" s="4" t="inlineStr">
        <is>
          <t>Coût unit. min</t>
        </is>
      </c>
      <c r="E4" s="4" t="inlineStr">
        <is>
          <t>Coût unit. max</t>
        </is>
      </c>
      <c r="F4" s="4" t="inlineStr">
        <is>
          <t>Total min (k€)</t>
        </is>
      </c>
      <c r="G4" s="4" t="inlineStr">
        <is>
          <t>Total max (k€)</t>
        </is>
      </c>
      <c r="H4" s="4" t="inlineStr">
        <is>
          <t>Fiab.</t>
        </is>
      </c>
    </row>
    <row r="5">
      <c r="A5" s="5" t="inlineStr">
        <is>
          <t>Distance de raccordement (tracé routier)</t>
        </is>
      </c>
      <c r="B5" s="18" t="n">
        <v>0</v>
      </c>
      <c r="C5" s="5" t="inlineStr">
        <is>
          <t>km</t>
        </is>
      </c>
      <c r="D5" s="19" t="n"/>
      <c r="E5" s="19" t="n"/>
      <c r="F5" s="19" t="n"/>
      <c r="G5" s="19" t="n"/>
      <c r="H5" s="16" t="inlineStr">
        <is>
          <t>A</t>
        </is>
      </c>
    </row>
    <row r="6">
      <c r="A6" s="5" t="inlineStr">
        <is>
          <t>Nombre d'adductions (diversité de chemins)</t>
        </is>
      </c>
      <c r="B6" s="20">
        <f>'Hypothèses'!B17</f>
        <v/>
      </c>
      <c r="C6" s="5" t="inlineStr">
        <is>
          <t>u</t>
        </is>
      </c>
      <c r="D6" s="19" t="n"/>
      <c r="E6" s="19" t="n"/>
      <c r="F6" s="19" t="n"/>
      <c r="G6" s="19" t="n"/>
    </row>
    <row r="7">
      <c r="A7" s="5" t="inlineStr">
        <is>
          <t>Génie civil + tirage fibre</t>
        </is>
      </c>
      <c r="B7" s="20">
        <f>B5*B6</f>
        <v/>
      </c>
      <c r="C7" s="5" t="inlineStr">
        <is>
          <t>km</t>
        </is>
      </c>
      <c r="D7" s="20">
        <f>'Hypothèses'!B15</f>
        <v/>
      </c>
      <c r="E7" s="20">
        <f>'Hypothèses'!C15</f>
        <v/>
      </c>
      <c r="F7" s="20">
        <f>B7*D7</f>
        <v/>
      </c>
      <c r="G7" s="20">
        <f>B7*E7</f>
        <v/>
      </c>
      <c r="H7" s="9" t="inlineStr">
        <is>
          <t>B</t>
        </is>
      </c>
    </row>
    <row r="8">
      <c r="B8" s="19" t="n"/>
      <c r="D8" s="19" t="n"/>
      <c r="E8" s="19" t="n"/>
      <c r="F8" s="19" t="n"/>
      <c r="G8" s="19" t="n"/>
    </row>
    <row r="9">
      <c r="A9" s="11" t="inlineStr">
        <is>
          <t>TOTAL fibre (k€)</t>
        </is>
      </c>
      <c r="B9" s="21" t="n"/>
      <c r="C9" s="13" t="n"/>
      <c r="D9" s="21" t="n"/>
      <c r="E9" s="21" t="n"/>
      <c r="F9" s="22">
        <f>F7</f>
        <v/>
      </c>
      <c r="G9" s="22">
        <f>G7</f>
        <v/>
      </c>
      <c r="H9" s="9" t="inlineStr">
        <is>
          <t>B</t>
        </is>
      </c>
    </row>
    <row r="11">
      <c r="A11" s="2" t="inlineStr">
        <is>
          <t>Le 2e chemin peut réutiliser des fourreaux loués (offre régulée) — devis opérateur souvent inférieur.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52" customWidth="1" min="4" max="4"/>
    <col width="6" customWidth="1" min="5" max="5"/>
  </cols>
  <sheetData>
    <row r="1">
      <c r="A1" s="1" t="inlineStr">
        <is>
          <t>Autres postes de coûts (indicatif)</t>
        </is>
      </c>
    </row>
    <row r="3">
      <c r="A3" s="4" t="inlineStr">
        <is>
          <t>Poste</t>
        </is>
      </c>
      <c r="B3" s="4" t="inlineStr">
        <is>
          <t>Min (M€)</t>
        </is>
      </c>
      <c r="C3" s="4" t="inlineStr">
        <is>
          <t>Max (M€)</t>
        </is>
      </c>
      <c r="D3" s="4" t="inlineStr">
        <is>
          <t>Commentaire</t>
        </is>
      </c>
    </row>
    <row r="4">
      <c r="A4" s="5" t="inlineStr">
        <is>
          <t>Études techniques amont</t>
        </is>
      </c>
      <c r="B4" s="8">
        <f>'Hypothèses'!B24</f>
        <v/>
      </c>
      <c r="C4" s="8">
        <f>'Hypothèses'!C24</f>
        <v/>
      </c>
      <c r="D4" s="5" t="inlineStr">
        <is>
          <t>G1/G2, environnement, dangers, MOE amont</t>
        </is>
      </c>
      <c r="E4" s="10" t="inlineStr">
        <is>
          <t>C</t>
        </is>
      </c>
    </row>
    <row r="5">
      <c r="A5" s="5" t="inlineStr">
        <is>
          <t>Dossier ICPE</t>
        </is>
      </c>
      <c r="B5" s="8">
        <f>'Hypothèses'!B25</f>
        <v/>
      </c>
      <c r="C5" s="8">
        <f>'Hypothèses'!C25</f>
        <v/>
      </c>
      <c r="D5" s="5" t="inlineStr">
        <is>
          <t>Rubriques 2921 / 3110 / 4802 selon configuration</t>
        </is>
      </c>
      <c r="E5" s="10" t="inlineStr">
        <is>
          <t>C</t>
        </is>
      </c>
    </row>
    <row r="6">
      <c r="A6" s="5" t="inlineStr">
        <is>
          <t>Acquisition foncière (ordre de grandeur DVF)</t>
        </is>
      </c>
      <c r="B6" s="15" t="n">
        <v>8.9</v>
      </c>
      <c r="C6" s="15" t="n">
        <v>8.9</v>
      </c>
      <c r="D6" s="5" t="inlineStr">
        <is>
          <t>P25-P75 DVF (1 ventes de terrains, 2023-2023) x 30.3 ha — à remplacer par le prix négocié</t>
        </is>
      </c>
      <c r="E6" s="9" t="inlineStr">
        <is>
          <t>B</t>
        </is>
      </c>
    </row>
    <row r="8">
      <c r="A8" s="3" t="inlineStr">
        <is>
          <t>CAPEX datacenter (hors raccordements) — scénario médian</t>
        </is>
      </c>
    </row>
    <row r="9">
      <c r="A9" s="5" t="inlineStr">
        <is>
          <t>Puissance IT retenue (éditable)</t>
        </is>
      </c>
      <c r="B9" s="8">
        <f>Synthèse!C14</f>
        <v/>
      </c>
      <c r="C9" s="8" t="inlineStr">
        <is>
          <t>MW</t>
        </is>
      </c>
    </row>
    <row r="10">
      <c r="A10" s="5" t="inlineStr">
        <is>
          <t>CAPEX estimé</t>
        </is>
      </c>
      <c r="B10" s="8">
        <f>B9*'Hypothèses'!B18</f>
        <v/>
      </c>
      <c r="C10" s="8">
        <f>B9*'Hypothèses'!C18</f>
        <v/>
      </c>
      <c r="D10" s="5" t="inlineStr">
        <is>
          <t>M€ (min / max)</t>
        </is>
      </c>
      <c r="E10" s="9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</cols>
  <sheetData>
    <row r="1">
      <c r="A1" s="1" t="inlineStr">
        <is>
          <t>Délais par voie (parallélisables) — chemin critique = la voie la plus longue</t>
        </is>
      </c>
    </row>
    <row r="3">
      <c r="A3" s="4" t="inlineStr">
        <is>
          <t>Voie</t>
        </is>
      </c>
      <c r="B3" s="4" t="inlineStr">
        <is>
          <t>Étape</t>
        </is>
      </c>
      <c r="C3" s="4" t="inlineStr">
        <is>
          <t>Min (mois)</t>
        </is>
      </c>
      <c r="D3" s="4" t="inlineStr">
        <is>
          <t>Max (mois)</t>
        </is>
      </c>
    </row>
    <row r="4">
      <c r="A4" s="5" t="inlineStr">
        <is>
          <t>Urbanisme</t>
        </is>
      </c>
      <c r="B4" s="5" t="inlineStr">
        <is>
          <t>Permis de construire</t>
        </is>
      </c>
      <c r="C4" s="5">
        <f>'Hypothèses'!B28</f>
        <v/>
      </c>
      <c r="D4" s="5">
        <f>'Hypothèses'!C28</f>
        <v/>
      </c>
    </row>
    <row r="5">
      <c r="A5" s="5" t="inlineStr">
        <is>
          <t>Environnement</t>
        </is>
      </c>
      <c r="B5" s="5" t="inlineStr">
        <is>
          <t>ICPE</t>
        </is>
      </c>
      <c r="C5" s="5">
        <f>'Hypothèses'!B29</f>
        <v/>
      </c>
      <c r="D5" s="5">
        <f>'Hypothèses'!C29</f>
        <v/>
      </c>
    </row>
    <row r="6">
      <c r="A6" s="5" t="inlineStr">
        <is>
          <t>Énergie</t>
        </is>
      </c>
      <c r="B6" s="5" t="inlineStr">
        <is>
          <t>PTF RTE</t>
        </is>
      </c>
      <c r="C6" s="5">
        <f>'Hypothèses'!B26</f>
        <v/>
      </c>
      <c r="D6" s="5">
        <f>'Hypothèses'!C26</f>
        <v/>
      </c>
    </row>
    <row r="7">
      <c r="A7" s="5" t="inlineStr">
        <is>
          <t>Énergie</t>
        </is>
      </c>
      <c r="B7" s="5" t="inlineStr">
        <is>
          <t>Travaux de raccordement</t>
        </is>
      </c>
      <c r="C7" s="5">
        <f>'Hypothèses'!B27</f>
        <v/>
      </c>
      <c r="D7" s="5">
        <f>'Hypothèses'!C27</f>
        <v/>
      </c>
    </row>
    <row r="9">
      <c r="A9" s="3" t="inlineStr">
        <is>
          <t>Voie Urbanisme (séquentielle)</t>
        </is>
      </c>
      <c r="C9">
        <f>SUMIF(A4:A7,"Urbanisme",C4:C7)</f>
        <v/>
      </c>
      <c r="D9">
        <f>SUMIF(A4:A7,"Urbanisme",D4:D7)</f>
        <v/>
      </c>
    </row>
    <row r="10">
      <c r="A10" s="3" t="inlineStr">
        <is>
          <t>Voie Énergie (séquentielle)</t>
        </is>
      </c>
      <c r="C10">
        <f>SUMIF(A4:A7,"Énergie",C4:C7)</f>
        <v/>
      </c>
      <c r="D10">
        <f>SUMIF(A4:A7,"Énergie",D4:D7)</f>
        <v/>
      </c>
    </row>
    <row r="11">
      <c r="A11" s="3" t="inlineStr">
        <is>
          <t>Voie Environnement</t>
        </is>
      </c>
      <c r="C11">
        <f>SUMIF(A4:A7,"Environnement",C4:C7)</f>
        <v/>
      </c>
      <c r="D11">
        <f>SUMIF(A4:A7,"Environnement",D4:D7)</f>
        <v/>
      </c>
    </row>
    <row r="12">
      <c r="A12" s="11" t="inlineStr">
        <is>
          <t>CHEMIN CRITIQUE ESTIMÉ (mois)</t>
        </is>
      </c>
      <c r="B12" s="13" t="n"/>
      <c r="C12" s="11">
        <f>MAX(C9:C11)</f>
        <v/>
      </c>
      <c r="D12" s="11">
        <f>MAX(D9:D11)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30" customWidth="1" min="3" max="3"/>
    <col width="16" customWidth="1" min="4" max="4"/>
    <col width="26" customWidth="1" min="5" max="5"/>
  </cols>
  <sheetData>
    <row r="1">
      <c r="A1" s="1" t="inlineStr">
        <is>
          <t>Plan d'action conditionnel (généré selon les résultats de l'analyse)</t>
        </is>
      </c>
    </row>
    <row r="3">
      <c r="A3" s="4" t="inlineStr">
        <is>
          <t>Priorité</t>
        </is>
      </c>
      <c r="B3" s="4" t="inlineStr">
        <is>
          <t>Action</t>
        </is>
      </c>
      <c r="C3" s="4" t="inlineStr">
        <is>
          <t>Interlocuteur</t>
        </is>
      </c>
      <c r="D3" s="4" t="inlineStr">
        <is>
          <t>Délai indicatif</t>
        </is>
      </c>
      <c r="E3" s="4" t="inlineStr">
        <is>
          <t>Déclencheur</t>
        </is>
      </c>
    </row>
    <row r="4">
      <c r="A4" s="5" t="inlineStr">
        <is>
          <t>P2 - Structurant</t>
        </is>
      </c>
      <c r="B4" s="23" t="inlineStr">
        <is>
          <t>Demander une PTF RTE pour fiabiliser capacite, cout et delai de raccordement</t>
        </is>
      </c>
      <c r="C4" s="5" t="inlineStr">
        <is>
          <t>RTE (guichet raccordement)</t>
        </is>
      </c>
      <c r="D4" s="5" t="inlineStr">
        <is>
          <t>3-6 mois (PTF)</t>
        </is>
      </c>
      <c r="E4" s="5" t="inlineStr">
        <is>
          <t>Systematique</t>
        </is>
      </c>
    </row>
    <row r="5">
      <c r="A5" s="5" t="inlineStr">
        <is>
          <t>P2 - Structurant</t>
        </is>
      </c>
      <c r="B5" s="23" t="inlineStr">
        <is>
          <t>Consulter les operateurs fibre pour devis et diversite de chemins (POP Arteria (FON SNCF), ~2.0 km de raccordement)</t>
        </is>
      </c>
      <c r="C5" s="5" t="inlineStr">
        <is>
          <t>Operateurs (euNetworks, Colt, Zayo...)</t>
        </is>
      </c>
      <c r="D5" s="5" t="inlineStr">
        <is>
          <t>2-4 mois</t>
        </is>
      </c>
      <c r="E5" s="5" t="inlineStr">
        <is>
          <t>Systematique</t>
        </is>
      </c>
    </row>
    <row r="6">
      <c r="A6" s="5" t="inlineStr">
        <is>
          <t>P2 - Structurant</t>
        </is>
      </c>
      <c r="B6" s="23" t="inlineStr">
        <is>
          <t>Lancer le dossier ICPE (rubriques 2921 tours aerorefrigerantes, 4802 fluides, 3110 combustion / groupes electrogenes selon puissance)</t>
        </is>
      </c>
      <c r="C6" s="5" t="inlineStr">
        <is>
          <t>DREAL / prefecture</t>
        </is>
      </c>
      <c r="D6" s="5" t="inlineStr">
        <is>
          <t>9-18 mois</t>
        </is>
      </c>
      <c r="E6" s="5" t="inlineStr">
        <is>
          <t>Systematique (generateurs de secours)</t>
        </is>
      </c>
    </row>
    <row r="7">
      <c r="A7" s="5" t="inlineStr">
        <is>
          <t>P2 - Structurant</t>
        </is>
      </c>
      <c r="B7" s="23" t="inlineStr">
        <is>
          <t>Analyser la compatibilite avec 1 site(s) Seveso proche(s) (etude de dangers, distances d'effets)</t>
        </is>
      </c>
      <c r="C7" s="5" t="inlineStr">
        <is>
          <t>DREAL / exploitant Seveso</t>
        </is>
      </c>
      <c r="D7" s="5" t="inlineStr">
        <is>
          <t>3-6 mois</t>
        </is>
      </c>
      <c r="E7" s="5" t="inlineStr">
        <is>
          <t>Seveso a proximite</t>
        </is>
      </c>
    </row>
    <row r="8">
      <c r="A8" s="5" t="inlineStr">
        <is>
          <t>P3 - Opportunite</t>
        </is>
      </c>
      <c r="B8" s="23" t="inlineStr">
        <is>
          <t>Contacter l'exploitant du reseau de chaleur 'Réseau de Montbéliard' (0.9 km) : valorisation chaleur fatale, bonus au titre de la loi REEN / fiscalite</t>
        </is>
      </c>
      <c r="C8" s="5" t="inlineStr">
        <is>
          <t>Exploitant reseau / collectivite</t>
        </is>
      </c>
      <c r="D8" s="5" t="inlineStr">
        <is>
          <t>3-6 mois</t>
        </is>
      </c>
      <c r="E8" s="5" t="inlineStr">
        <is>
          <t>Reseau chaleur &lt; 5 km</t>
        </is>
      </c>
    </row>
    <row r="9">
      <c r="A9" s="5" t="inlineStr">
        <is>
          <t>P3 - Opportunite</t>
        </is>
      </c>
      <c r="B9" s="23" t="inlineStr">
        <is>
          <t>Verifier le foncier : DPU en mairie, acte de propriete, servitudes privees, etude de sol G1/G2</t>
        </is>
      </c>
      <c r="C9" s="5" t="inlineStr">
        <is>
          <t>Notaire / geometre / geotechnicien</t>
        </is>
      </c>
      <c r="D9" s="5" t="inlineStr">
        <is>
          <t>2-4 mois</t>
        </is>
      </c>
      <c r="E9" s="5" t="inlineStr">
        <is>
          <t>Systematique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2026-09-23T14:50:20Z</dcterms:created>
  <dcterms:modified xmlns:dcterms="http://purl.org/dc/terms/" xmlns:xsi="http://www.w3.org/2001/XMLSchema-instance" xsi:type="dcterms:W3CDTF">2026-09-23T14:50:21Z</dcterms:modified>
</cp:coreProperties>
</file>